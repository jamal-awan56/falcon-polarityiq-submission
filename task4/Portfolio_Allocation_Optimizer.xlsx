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Dashboard" sheetId="1" state="visible" r:id="rId1"/>
    <sheet xmlns:r="http://schemas.openxmlformats.org/officeDocument/2006/relationships" name="Manager Tracker" sheetId="2" state="visible" r:id="rId2"/>
    <sheet xmlns:r="http://schemas.openxmlformats.org/officeDocument/2006/relationships" name="Liquidity Ladder" sheetId="3" state="visible" r:id="rId3"/>
    <sheet xmlns:r="http://schemas.openxmlformats.org/officeDocument/2006/relationships" name="Concentration 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ED6F1"/>
      <sz val="11"/>
    </font>
    <font>
      <name val="Calibri"/>
      <b val="1"/>
      <color rgb="000D1B2A"/>
      <sz val="1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  <font>
      <name val="Calibri"/>
      <i val="1"/>
      <color rgb="00AED6F1"/>
      <sz val="10"/>
    </font>
    <font>
      <name val="Calibri"/>
      <b val="1"/>
      <sz val="11"/>
    </font>
    <font>
      <name val="Calibri"/>
      <i val="1"/>
      <sz val="9"/>
    </font>
    <font>
      <name val="Calibri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FAD7A0"/>
      </patternFill>
    </fill>
    <fill>
      <patternFill patternType="solid">
        <fgColor rgb="00FFFACD"/>
      </patternFill>
    </fill>
    <fill>
      <patternFill patternType="solid">
        <fgColor rgb="002E86C1"/>
      </patternFill>
    </fill>
    <fill>
      <patternFill patternType="solid">
        <fgColor rgb="00A9DFBF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AED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3" fontId="0" fillId="5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9" fontId="6" fillId="8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2" borderId="0" pivotButton="0" quotePrefix="0" xfId="0"/>
    <xf numFmtId="9" fontId="5" fillId="2" borderId="0" pivotButton="0" quotePrefix="0" xfId="0"/>
    <xf numFmtId="0" fontId="6" fillId="4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4" fillId="10" borderId="1" pivotButton="0" quotePrefix="0" xfId="0"/>
    <xf numFmtId="164" fontId="0" fillId="5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4" fontId="0" fillId="7" borderId="1" pivotButton="0" quotePrefix="0" xfId="0"/>
    <xf numFmtId="0" fontId="0" fillId="0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9" fontId="0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</cols>
  <sheetData>
    <row r="1" ht="40" customHeight="1">
      <c r="A1" s="1" t="inlineStr">
        <is>
          <t>PRIVATE CREDIT PORTFOLIO ALLOCATION OPTIMIZER</t>
        </is>
      </c>
    </row>
    <row r="2">
      <c r="A2" s="2" t="inlineStr">
        <is>
          <t>Current vs. Target Allocation | Diversification Scoring | Concentration Risk Alerts</t>
        </is>
      </c>
    </row>
    <row r="4">
      <c r="A4" s="3" t="inlineStr">
        <is>
          <t>PORTFOLIO OVERVIEW — INPUTS (Yellow cells are editable)</t>
        </is>
      </c>
    </row>
    <row r="5">
      <c r="A5" s="4" t="inlineStr">
        <is>
          <t>Total Portfolio AUM ($M):</t>
        </is>
      </c>
      <c r="B5" s="5" t="n">
        <v>100</v>
      </c>
      <c r="G5" s="4" t="inlineStr">
        <is>
          <t>Target Private Credit Allocation (%):</t>
        </is>
      </c>
      <c r="H5" s="6" t="n">
        <v>0.2</v>
      </c>
      <c r="M5" s="4" t="inlineStr">
        <is>
          <t>Current Private Credit Allocation (%):</t>
        </is>
      </c>
      <c r="N5" s="6" t="n">
        <v>0.15</v>
      </c>
    </row>
    <row r="6">
      <c r="A6" s="4" t="inlineStr">
        <is>
          <t>Number of Managers:</t>
        </is>
      </c>
      <c r="B6" s="5" t="n">
        <v>5</v>
      </c>
      <c r="G6" s="4" t="inlineStr">
        <is>
          <t>Target Avg Yield (%):</t>
        </is>
      </c>
      <c r="H6" s="6" t="n">
        <v>0.115</v>
      </c>
      <c r="M6" s="4" t="inlineStr">
        <is>
          <t>Current Avg Yield (%):</t>
        </is>
      </c>
      <c r="N6" s="6" t="n">
        <v>0.108</v>
      </c>
    </row>
    <row r="12">
      <c r="A12" s="7" t="inlineStr">
        <is>
          <t>SENIORITY ALLOCATION</t>
        </is>
      </c>
    </row>
    <row r="13">
      <c r="A13" s="8" t="inlineStr">
        <is>
          <t>Seniority Type</t>
        </is>
      </c>
      <c r="B13" s="8" t="inlineStr">
        <is>
          <t>Target %</t>
        </is>
      </c>
      <c r="C13" s="8" t="inlineStr">
        <is>
          <t>Current %</t>
        </is>
      </c>
      <c r="D13" s="8" t="inlineStr">
        <is>
          <t>$ Gap ($M)</t>
        </is>
      </c>
      <c r="E13" s="8" t="inlineStr">
        <is>
          <t>Status</t>
        </is>
      </c>
      <c r="F13" s="8" t="inlineStr">
        <is>
          <t>Benchmark Range</t>
        </is>
      </c>
    </row>
    <row r="14">
      <c r="A14" s="9" t="inlineStr">
        <is>
          <t>First Lien / Senior Secured</t>
        </is>
      </c>
      <c r="B14" s="10" t="n">
        <v>0.55</v>
      </c>
      <c r="C14" s="11" t="n">
        <v>0.45</v>
      </c>
      <c r="D14" s="12" t="inlineStr"/>
      <c r="E14" s="12">
        <f>IF(ABS(C14-B14)&lt;0.05,"✅ On Target",IF(C14&gt;B14+0.05,"⬆️ Overweight","⬇️ Underweight"))</f>
        <v/>
      </c>
      <c r="F14" s="12" t="inlineStr">
        <is>
          <t>50–65%</t>
        </is>
      </c>
    </row>
    <row r="15">
      <c r="A15" s="9" t="inlineStr">
        <is>
          <t>Unitranche</t>
        </is>
      </c>
      <c r="B15" s="13" t="n">
        <v>0.2</v>
      </c>
      <c r="C15" s="11" t="n">
        <v>0.25</v>
      </c>
      <c r="D15" s="14" t="inlineStr"/>
      <c r="E15" s="14">
        <f>IF(ABS(C15-B15)&lt;0.05,"✅ On Target",IF(C15&gt;B15+0.05,"⬆️ Overweight","⬇️ Underweight"))</f>
        <v/>
      </c>
      <c r="F15" s="14" t="inlineStr">
        <is>
          <t>15–25%</t>
        </is>
      </c>
    </row>
    <row r="16">
      <c r="A16" s="9" t="inlineStr">
        <is>
          <t>Second Lien</t>
        </is>
      </c>
      <c r="B16" s="10" t="n">
        <v>0.1</v>
      </c>
      <c r="C16" s="11" t="n">
        <v>0.12</v>
      </c>
      <c r="D16" s="12" t="inlineStr"/>
      <c r="E16" s="12">
        <f>IF(ABS(C16-B16)&lt;0.05,"✅ On Target",IF(C16&gt;B16+0.05,"⬆️ Overweight","⬇️ Underweight"))</f>
        <v/>
      </c>
      <c r="F16" s="12" t="inlineStr">
        <is>
          <t>5–15%</t>
        </is>
      </c>
    </row>
    <row r="17">
      <c r="A17" s="9" t="inlineStr">
        <is>
          <t>Mezzanine / Sub Debt</t>
        </is>
      </c>
      <c r="B17" s="13" t="n">
        <v>0.1</v>
      </c>
      <c r="C17" s="11" t="n">
        <v>0.08</v>
      </c>
      <c r="D17" s="14" t="inlineStr"/>
      <c r="E17" s="14">
        <f>IF(ABS(C17-B17)&lt;0.05,"✅ On Target",IF(C17&gt;B17+0.05,"⬆️ Overweight","⬇️ Underweight"))</f>
        <v/>
      </c>
      <c r="F17" s="14" t="inlineStr">
        <is>
          <t>5–15%</t>
        </is>
      </c>
    </row>
    <row r="18">
      <c r="A18" s="9" t="inlineStr">
        <is>
          <t>Equity Co-Invest</t>
        </is>
      </c>
      <c r="B18" s="10" t="n">
        <v>0.05</v>
      </c>
      <c r="C18" s="11" t="n">
        <v>0.1</v>
      </c>
      <c r="D18" s="12" t="inlineStr"/>
      <c r="E18" s="12">
        <f>IF(ABS(C18-B18)&lt;0.05,"✅ On Target",IF(C18&gt;B18+0.05,"⬆️ Overweight","⬇️ Underweight"))</f>
        <v/>
      </c>
      <c r="F18" s="12" t="inlineStr">
        <is>
          <t>0–10%</t>
        </is>
      </c>
    </row>
    <row r="19">
      <c r="A19" s="15" t="inlineStr">
        <is>
          <t>TOTAL</t>
        </is>
      </c>
      <c r="B19" s="16">
        <f>SUM(B14:B18)</f>
        <v/>
      </c>
      <c r="C19" s="16">
        <f>SUM(C14:C18)</f>
        <v/>
      </c>
    </row>
    <row r="22">
      <c r="A22" s="7" t="inlineStr">
        <is>
          <t>SECTOR ALLOCATION</t>
        </is>
      </c>
    </row>
    <row r="23">
      <c r="A23" s="8" t="inlineStr">
        <is>
          <t>Seniority Type</t>
        </is>
      </c>
      <c r="B23" s="8" t="inlineStr">
        <is>
          <t>Target %</t>
        </is>
      </c>
      <c r="C23" s="8" t="inlineStr">
        <is>
          <t>Current %</t>
        </is>
      </c>
      <c r="D23" s="8" t="inlineStr">
        <is>
          <t>$ Gap ($M)</t>
        </is>
      </c>
      <c r="E23" s="8" t="inlineStr">
        <is>
          <t>Status</t>
        </is>
      </c>
      <c r="F23" s="8" t="inlineStr">
        <is>
          <t>Benchmark Range</t>
        </is>
      </c>
    </row>
    <row r="24">
      <c r="A24" s="17" t="inlineStr">
        <is>
          <t>Software &amp; Technology</t>
        </is>
      </c>
      <c r="B24" s="10" t="n">
        <v>0.25</v>
      </c>
      <c r="C24" s="11" t="n">
        <v>0.3</v>
      </c>
      <c r="D24" s="12" t="inlineStr"/>
      <c r="E24" s="12">
        <f>IF(ABS(C24-B24)&lt;0.05,"✅ On Target",IF(C24&gt;B24+0.07,"⚠️ HIGH CONCENTRATION","⬇️ Underweight"))</f>
        <v/>
      </c>
      <c r="F24" s="12" t="inlineStr">
        <is>
          <t>15–30%</t>
        </is>
      </c>
    </row>
    <row r="25">
      <c r="A25" s="17" t="inlineStr">
        <is>
          <t>Healthcare &amp; Life Sciences</t>
        </is>
      </c>
      <c r="B25" s="13" t="n">
        <v>0.2</v>
      </c>
      <c r="C25" s="11" t="n">
        <v>0.18</v>
      </c>
      <c r="D25" s="14" t="inlineStr"/>
      <c r="E25" s="14">
        <f>IF(ABS(C25-B25)&lt;0.05,"✅ On Target",IF(C25&gt;B25+0.07,"⚠️ HIGH CONCENTRATION","⬇️ Underweight"))</f>
        <v/>
      </c>
      <c r="F25" s="14" t="inlineStr">
        <is>
          <t>10–25%</t>
        </is>
      </c>
    </row>
    <row r="26">
      <c r="A26" s="17" t="inlineStr">
        <is>
          <t>Business Services</t>
        </is>
      </c>
      <c r="B26" s="10" t="n">
        <v>0.15</v>
      </c>
      <c r="C26" s="11" t="n">
        <v>0.12</v>
      </c>
      <c r="D26" s="12" t="inlineStr"/>
      <c r="E26" s="12">
        <f>IF(ABS(C26-B26)&lt;0.05,"✅ On Target",IF(C26&gt;B26+0.07,"⚠️ HIGH CONCENTRATION","⬇️ Underweight"))</f>
        <v/>
      </c>
      <c r="F26" s="12" t="inlineStr">
        <is>
          <t>10–20%</t>
        </is>
      </c>
    </row>
    <row r="27">
      <c r="A27" s="17" t="inlineStr">
        <is>
          <t>Consumer &amp; Retail</t>
        </is>
      </c>
      <c r="B27" s="13" t="n">
        <v>0.1</v>
      </c>
      <c r="C27" s="11" t="n">
        <v>0.08</v>
      </c>
      <c r="D27" s="14" t="inlineStr"/>
      <c r="E27" s="14">
        <f>IF(ABS(C27-B27)&lt;0.05,"✅ On Target",IF(C27&gt;B27+0.07,"⚠️ HIGH CONCENTRATION","⬇️ Underweight"))</f>
        <v/>
      </c>
      <c r="F27" s="14" t="inlineStr">
        <is>
          <t>5–15%</t>
        </is>
      </c>
    </row>
    <row r="28">
      <c r="A28" s="17" t="inlineStr">
        <is>
          <t>Industrials &amp; Manufacturing</t>
        </is>
      </c>
      <c r="B28" s="10" t="n">
        <v>0.1</v>
      </c>
      <c r="C28" s="11" t="n">
        <v>0.12</v>
      </c>
      <c r="D28" s="12" t="inlineStr"/>
      <c r="E28" s="12">
        <f>IF(ABS(C28-B28)&lt;0.05,"✅ On Target",IF(C28&gt;B28+0.07,"⚠️ HIGH CONCENTRATION","⬇️ Underweight"))</f>
        <v/>
      </c>
      <c r="F28" s="12" t="inlineStr">
        <is>
          <t>5–15%</t>
        </is>
      </c>
    </row>
    <row r="29">
      <c r="A29" s="17" t="inlineStr">
        <is>
          <t>Financial Services</t>
        </is>
      </c>
      <c r="B29" s="13" t="n">
        <v>0.1</v>
      </c>
      <c r="C29" s="11" t="n">
        <v>0.1</v>
      </c>
      <c r="D29" s="14" t="inlineStr"/>
      <c r="E29" s="14">
        <f>IF(ABS(C29-B29)&lt;0.05,"✅ On Target",IF(C29&gt;B29+0.07,"⚠️ HIGH CONCENTRATION","⬇️ Underweight"))</f>
        <v/>
      </c>
      <c r="F29" s="14" t="inlineStr">
        <is>
          <t>5–15%</t>
        </is>
      </c>
    </row>
    <row r="30">
      <c r="A30" s="17" t="inlineStr">
        <is>
          <t>Real Estate / CRE</t>
        </is>
      </c>
      <c r="B30" s="10" t="n">
        <v>0.05</v>
      </c>
      <c r="C30" s="11" t="n">
        <v>0.06</v>
      </c>
      <c r="D30" s="12" t="inlineStr"/>
      <c r="E30" s="12">
        <f>IF(ABS(C30-B30)&lt;0.05,"✅ On Target",IF(C30&gt;B30+0.07,"⚠️ HIGH CONCENTRATION","⬇️ Underweight"))</f>
        <v/>
      </c>
      <c r="F30" s="12" t="inlineStr">
        <is>
          <t>0–10%</t>
        </is>
      </c>
    </row>
    <row r="31">
      <c r="A31" s="17" t="inlineStr">
        <is>
          <t>Energy &amp; Utilities</t>
        </is>
      </c>
      <c r="B31" s="13" t="n">
        <v>0.05</v>
      </c>
      <c r="C31" s="11" t="n">
        <v>0.04</v>
      </c>
      <c r="D31" s="14" t="inlineStr"/>
      <c r="E31" s="14">
        <f>IF(ABS(C31-B31)&lt;0.05,"✅ On Target",IF(C31&gt;B31+0.07,"⚠️ HIGH CONCENTRATION","⬇️ Underweight"))</f>
        <v/>
      </c>
      <c r="F31" s="14" t="inlineStr">
        <is>
          <t>0–10%</t>
        </is>
      </c>
    </row>
  </sheetData>
  <mergeCells count="5">
    <mergeCell ref="A2:L2"/>
    <mergeCell ref="A1:L1"/>
    <mergeCell ref="A22:F22"/>
    <mergeCell ref="A12:F1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8" customWidth="1" min="10" max="10"/>
    <col width="18" customWidth="1" min="11" max="11"/>
  </cols>
  <sheetData>
    <row r="1" ht="30" customHeight="1">
      <c r="A1" s="18" t="inlineStr">
        <is>
          <t>PRIVATE CREDIT MANAGER TRACKING</t>
        </is>
      </c>
    </row>
    <row r="3">
      <c r="A3" s="19" t="inlineStr">
        <is>
          <t>Manager Name</t>
        </is>
      </c>
      <c r="B3" s="19" t="inlineStr">
        <is>
          <t>Strategy</t>
        </is>
      </c>
      <c r="C3" s="19" t="inlineStr">
        <is>
          <t>Commitment ($M)</t>
        </is>
      </c>
      <c r="D3" s="19" t="inlineStr">
        <is>
          <t>Called (%)</t>
        </is>
      </c>
      <c r="E3" s="19" t="inlineStr">
        <is>
          <t>NAV ($M)</t>
        </is>
      </c>
      <c r="F3" s="19" t="inlineStr">
        <is>
          <t>Gross IRR</t>
        </is>
      </c>
      <c r="G3" s="19" t="inlineStr">
        <is>
          <t>Net IRR</t>
        </is>
      </c>
      <c r="H3" s="19" t="inlineStr">
        <is>
          <t>DPI</t>
        </is>
      </c>
      <c r="I3" s="19" t="inlineStr">
        <is>
          <t>TVPI</t>
        </is>
      </c>
      <c r="J3" s="19" t="inlineStr">
        <is>
          <t>Next Distribution</t>
        </is>
      </c>
      <c r="K3" s="19" t="inlineStr">
        <is>
          <t>Status</t>
        </is>
      </c>
    </row>
    <row r="4">
      <c r="A4" s="12" t="inlineStr">
        <is>
          <t>Manager A</t>
        </is>
      </c>
      <c r="B4" s="12" t="inlineStr">
        <is>
          <t>Direct Lending</t>
        </is>
      </c>
      <c r="C4" s="12" t="n">
        <v>20</v>
      </c>
      <c r="D4" s="10" t="n">
        <v>0.85</v>
      </c>
      <c r="E4" s="20" t="n">
        <v>17.2</v>
      </c>
      <c r="F4" s="10" t="n">
        <v>0.145</v>
      </c>
      <c r="G4" s="10" t="n">
        <v>0.118</v>
      </c>
      <c r="H4" s="12" t="n">
        <v>0.85</v>
      </c>
      <c r="I4" s="12" t="n">
        <v>1.25</v>
      </c>
      <c r="J4" s="12" t="inlineStr">
        <is>
          <t>Q2 2025</t>
        </is>
      </c>
      <c r="K4" s="12" t="inlineStr">
        <is>
          <t>Active</t>
        </is>
      </c>
    </row>
    <row r="5">
      <c r="A5" s="14" t="inlineStr">
        <is>
          <t>Manager B</t>
        </is>
      </c>
      <c r="B5" s="14" t="inlineStr">
        <is>
          <t>Unitranche</t>
        </is>
      </c>
      <c r="C5" s="14" t="n">
        <v>15</v>
      </c>
      <c r="D5" s="13" t="n">
        <v>0.7</v>
      </c>
      <c r="E5" s="21" t="n">
        <v>11</v>
      </c>
      <c r="F5" s="13" t="n">
        <v>0.135</v>
      </c>
      <c r="G5" s="13" t="n">
        <v>0.108</v>
      </c>
      <c r="H5" s="14" t="n">
        <v>0.6</v>
      </c>
      <c r="I5" s="14" t="n">
        <v>1.15</v>
      </c>
      <c r="J5" s="14" t="inlineStr">
        <is>
          <t>Q1 2025</t>
        </is>
      </c>
      <c r="K5" s="14" t="inlineStr">
        <is>
          <t>Active</t>
        </is>
      </c>
    </row>
    <row r="6">
      <c r="A6" s="12" t="inlineStr">
        <is>
          <t>Manager C</t>
        </is>
      </c>
      <c r="B6" s="12" t="inlineStr">
        <is>
          <t>Mezzanine</t>
        </is>
      </c>
      <c r="C6" s="12" t="n">
        <v>10</v>
      </c>
      <c r="D6" s="10" t="n">
        <v>0.9</v>
      </c>
      <c r="E6" s="20" t="n">
        <v>9.800000000000001</v>
      </c>
      <c r="F6" s="10" t="n">
        <v>0.175</v>
      </c>
      <c r="G6" s="10" t="n">
        <v>0.135</v>
      </c>
      <c r="H6" s="12" t="n">
        <v>1.1</v>
      </c>
      <c r="I6" s="12" t="n">
        <v>1.45</v>
      </c>
      <c r="J6" s="12" t="inlineStr">
        <is>
          <t>Q3 2025</t>
        </is>
      </c>
      <c r="K6" s="12" t="inlineStr">
        <is>
          <t>Active</t>
        </is>
      </c>
    </row>
    <row r="7">
      <c r="A7" s="14" t="inlineStr">
        <is>
          <t>Manager D</t>
        </is>
      </c>
      <c r="B7" s="14" t="inlineStr">
        <is>
          <t>Real Estate Debt</t>
        </is>
      </c>
      <c r="C7" s="14" t="n">
        <v>12</v>
      </c>
      <c r="D7" s="13" t="n">
        <v>0.6</v>
      </c>
      <c r="E7" s="21" t="n">
        <v>7.8</v>
      </c>
      <c r="F7" s="13" t="n">
        <v>0.125</v>
      </c>
      <c r="G7" s="13" t="n">
        <v>0.095</v>
      </c>
      <c r="H7" s="14" t="n">
        <v>0.45</v>
      </c>
      <c r="I7" s="14" t="n">
        <v>1.1</v>
      </c>
      <c r="J7" s="14" t="inlineStr">
        <is>
          <t>Q4 2025</t>
        </is>
      </c>
      <c r="K7" s="14" t="inlineStr">
        <is>
          <t>Ramp-Up</t>
        </is>
      </c>
    </row>
    <row r="8">
      <c r="A8" s="12" t="inlineStr">
        <is>
          <t>Manager E</t>
        </is>
      </c>
      <c r="B8" s="12" t="inlineStr">
        <is>
          <t>Distressed</t>
        </is>
      </c>
      <c r="C8" s="12" t="n">
        <v>8</v>
      </c>
      <c r="D8" s="10" t="n">
        <v>0.95</v>
      </c>
      <c r="E8" s="20" t="n">
        <v>8.199999999999999</v>
      </c>
      <c r="F8" s="10" t="n">
        <v>0.195</v>
      </c>
      <c r="G8" s="10" t="n">
        <v>0.155</v>
      </c>
      <c r="H8" s="12" t="n">
        <v>1.3</v>
      </c>
      <c r="I8" s="12" t="n">
        <v>1.65</v>
      </c>
      <c r="J8" s="12" t="inlineStr">
        <is>
          <t>Q1 2025</t>
        </is>
      </c>
      <c r="K8" s="12" t="inlineStr">
        <is>
          <t>Harvesting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0" customWidth="1" min="4" max="4"/>
    <col width="28" customWidth="1" min="5" max="5"/>
    <col width="30" customWidth="1" min="6" max="6"/>
  </cols>
  <sheetData>
    <row r="1">
      <c r="A1" s="18" t="inlineStr">
        <is>
          <t>PRIVATE CREDIT LIQUIDITY LADDER</t>
        </is>
      </c>
    </row>
    <row r="2">
      <c r="A2" s="22" t="inlineStr">
        <is>
          <t>Expected Distributions and Capital Calls by Quarter</t>
        </is>
      </c>
    </row>
    <row r="4">
      <c r="A4" s="19" t="inlineStr">
        <is>
          <t>Quarter</t>
        </is>
      </c>
      <c r="B4" s="19" t="inlineStr">
        <is>
          <t>Expected Distributions ($M)</t>
        </is>
      </c>
      <c r="C4" s="19" t="inlineStr">
        <is>
          <t>Expected Capital Calls ($M)</t>
        </is>
      </c>
      <c r="D4" s="19" t="inlineStr">
        <is>
          <t>Net Cash Flow ($M)</t>
        </is>
      </c>
      <c r="E4" s="19" t="inlineStr">
        <is>
          <t>Cumulative Net Cash Flow ($M)</t>
        </is>
      </c>
      <c r="F4" s="19" t="inlineStr">
        <is>
          <t>Notes</t>
        </is>
      </c>
    </row>
    <row r="5">
      <c r="A5" s="23" t="inlineStr">
        <is>
          <t>Q1 2025</t>
        </is>
      </c>
      <c r="B5" s="24" t="n">
        <v>0</v>
      </c>
      <c r="C5" s="24" t="n">
        <v>0</v>
      </c>
      <c r="D5" s="25">
        <f>B5-C5</f>
        <v/>
      </c>
      <c r="E5" s="26">
        <f>D5</f>
        <v/>
      </c>
      <c r="F5" s="27" t="n"/>
    </row>
    <row r="6">
      <c r="A6" s="28" t="inlineStr">
        <is>
          <t>Q2 2025</t>
        </is>
      </c>
      <c r="B6" s="24" t="n">
        <v>0</v>
      </c>
      <c r="C6" s="24" t="n">
        <v>0</v>
      </c>
      <c r="D6" s="25">
        <f>B6-C6</f>
        <v/>
      </c>
      <c r="E6" s="26">
        <f>D6+E5</f>
        <v/>
      </c>
      <c r="F6" s="27" t="n"/>
    </row>
    <row r="7">
      <c r="A7" s="29" t="inlineStr">
        <is>
          <t>Q3 2025</t>
        </is>
      </c>
      <c r="B7" s="24" t="n">
        <v>0</v>
      </c>
      <c r="C7" s="24" t="n">
        <v>0</v>
      </c>
      <c r="D7" s="25">
        <f>B7-C7</f>
        <v/>
      </c>
      <c r="E7" s="26">
        <f>D7+E6</f>
        <v/>
      </c>
      <c r="F7" s="27" t="n"/>
    </row>
    <row r="8">
      <c r="A8" s="28" t="inlineStr">
        <is>
          <t>Q4 2025</t>
        </is>
      </c>
      <c r="B8" s="24" t="n">
        <v>0</v>
      </c>
      <c r="C8" s="24" t="n">
        <v>0</v>
      </c>
      <c r="D8" s="25">
        <f>B8-C8</f>
        <v/>
      </c>
      <c r="E8" s="26">
        <f>D8+E7</f>
        <v/>
      </c>
      <c r="F8" s="27" t="n"/>
    </row>
    <row r="9">
      <c r="A9" s="23" t="inlineStr">
        <is>
          <t>Q1 2026</t>
        </is>
      </c>
      <c r="B9" s="24" t="n">
        <v>0</v>
      </c>
      <c r="C9" s="24" t="n">
        <v>0</v>
      </c>
      <c r="D9" s="25">
        <f>B9-C9</f>
        <v/>
      </c>
      <c r="E9" s="26">
        <f>D9+E8</f>
        <v/>
      </c>
      <c r="F9" s="27" t="n"/>
    </row>
    <row r="10">
      <c r="A10" s="28" t="inlineStr">
        <is>
          <t>Q2 2026</t>
        </is>
      </c>
      <c r="B10" s="24" t="n">
        <v>0</v>
      </c>
      <c r="C10" s="24" t="n">
        <v>0</v>
      </c>
      <c r="D10" s="25">
        <f>B10-C10</f>
        <v/>
      </c>
      <c r="E10" s="26">
        <f>D10+E9</f>
        <v/>
      </c>
      <c r="F10" s="27" t="n"/>
    </row>
    <row r="11">
      <c r="A11" s="29" t="inlineStr">
        <is>
          <t>Q3 2026</t>
        </is>
      </c>
      <c r="B11" s="24" t="n">
        <v>0</v>
      </c>
      <c r="C11" s="24" t="n">
        <v>0</v>
      </c>
      <c r="D11" s="25">
        <f>B11-C11</f>
        <v/>
      </c>
      <c r="E11" s="26">
        <f>D11+E10</f>
        <v/>
      </c>
      <c r="F11" s="27" t="n"/>
    </row>
    <row r="12">
      <c r="A12" s="28" t="inlineStr">
        <is>
          <t>Q4 2026</t>
        </is>
      </c>
      <c r="B12" s="24" t="n">
        <v>0</v>
      </c>
      <c r="C12" s="24" t="n">
        <v>0</v>
      </c>
      <c r="D12" s="25">
        <f>B12-C12</f>
        <v/>
      </c>
      <c r="E12" s="26">
        <f>D12+E11</f>
        <v/>
      </c>
      <c r="F12" s="27" t="n"/>
    </row>
    <row r="13">
      <c r="A13" s="23" t="inlineStr">
        <is>
          <t>Q1 2027</t>
        </is>
      </c>
      <c r="B13" s="24" t="n">
        <v>0</v>
      </c>
      <c r="C13" s="24" t="n">
        <v>0</v>
      </c>
      <c r="D13" s="25">
        <f>B13-C13</f>
        <v/>
      </c>
      <c r="E13" s="26">
        <f>D13+E12</f>
        <v/>
      </c>
      <c r="F13" s="27" t="n"/>
    </row>
    <row r="14">
      <c r="A14" s="28" t="inlineStr">
        <is>
          <t>Q2 2027</t>
        </is>
      </c>
      <c r="B14" s="24" t="n">
        <v>0</v>
      </c>
      <c r="C14" s="24" t="n">
        <v>0</v>
      </c>
      <c r="D14" s="25">
        <f>B14-C14</f>
        <v/>
      </c>
      <c r="E14" s="26">
        <f>D14+E13</f>
        <v/>
      </c>
      <c r="F14" s="27" t="n"/>
    </row>
    <row r="15">
      <c r="A15" s="29" t="inlineStr">
        <is>
          <t>Q3 2027</t>
        </is>
      </c>
      <c r="B15" s="24" t="n">
        <v>0</v>
      </c>
      <c r="C15" s="24" t="n">
        <v>0</v>
      </c>
      <c r="D15" s="25">
        <f>B15-C15</f>
        <v/>
      </c>
      <c r="E15" s="26">
        <f>D15+E14</f>
        <v/>
      </c>
      <c r="F15" s="27" t="n"/>
    </row>
    <row r="16">
      <c r="A16" s="28" t="inlineStr">
        <is>
          <t>Q4 2027</t>
        </is>
      </c>
      <c r="B16" s="24" t="n">
        <v>0</v>
      </c>
      <c r="C16" s="24" t="n">
        <v>0</v>
      </c>
      <c r="D16" s="25">
        <f>B16-C16</f>
        <v/>
      </c>
      <c r="E16" s="26">
        <f>D16+E15</f>
        <v/>
      </c>
      <c r="F16" s="27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  <col width="40" customWidth="1" min="5" max="5"/>
  </cols>
  <sheetData>
    <row r="1">
      <c r="A1" s="18" t="inlineStr">
        <is>
          <t>CONCENTRATION RISK MONITOR</t>
        </is>
      </c>
    </row>
    <row r="3">
      <c r="A3" s="30" t="inlineStr">
        <is>
          <t>DIVERSIFICATION SCORE SUMMARY</t>
        </is>
      </c>
    </row>
    <row r="5">
      <c r="A5" s="31" t="inlineStr">
        <is>
          <t>Seniority Diversification</t>
        </is>
      </c>
      <c r="B5" s="32" t="n">
        <v>0</v>
      </c>
      <c r="C5" s="33">
        <f>IF(B5&gt;0.6,"⚠️ HIGH","✅ OK")</f>
        <v/>
      </c>
      <c r="D5" s="34" t="inlineStr">
        <is>
          <t>First lien %</t>
        </is>
      </c>
      <c r="E5" s="35" t="inlineStr">
        <is>
          <t>Max 60% in any single seniority</t>
        </is>
      </c>
    </row>
    <row r="6">
      <c r="A6" s="31" t="inlineStr">
        <is>
          <t>Sector Diversification</t>
        </is>
      </c>
      <c r="B6" s="32" t="n">
        <v>0</v>
      </c>
      <c r="C6" s="33">
        <f>IF(B6&gt;0.35,"⚠️ HIGH","✅ OK")</f>
        <v/>
      </c>
      <c r="D6" s="34" t="inlineStr">
        <is>
          <t>Top sector %</t>
        </is>
      </c>
      <c r="E6" s="35" t="inlineStr">
        <is>
          <t>Max 35% in any single sector</t>
        </is>
      </c>
    </row>
    <row r="7">
      <c r="A7" s="31" t="inlineStr">
        <is>
          <t>Manager Diversification</t>
        </is>
      </c>
      <c r="B7" s="32" t="n">
        <v>0</v>
      </c>
      <c r="C7" s="33">
        <f>IF(B7&gt;0.35,"⚠️ HIGH","✅ OK")</f>
        <v/>
      </c>
      <c r="D7" s="34" t="inlineStr">
        <is>
          <t>Largest manager %</t>
        </is>
      </c>
      <c r="E7" s="35" t="inlineStr">
        <is>
          <t>Max 35% with any single manager</t>
        </is>
      </c>
    </row>
    <row r="8">
      <c r="A8" s="31" t="inlineStr">
        <is>
          <t>Geographic Diversification</t>
        </is>
      </c>
      <c r="B8" s="32" t="n">
        <v>0</v>
      </c>
      <c r="C8" s="33">
        <f>IF(B8&gt;0.60,"⚠️ HIGH","✅ OK")</f>
        <v/>
      </c>
      <c r="D8" s="34" t="inlineStr">
        <is>
          <t>USA %</t>
        </is>
      </c>
      <c r="E8" s="35" t="inlineStr">
        <is>
          <t>Flag if &gt;60% USA</t>
        </is>
      </c>
    </row>
    <row r="9">
      <c r="A9" s="31" t="inlineStr">
        <is>
          <t>Vintage Diversification</t>
        </is>
      </c>
      <c r="B9" s="32" t="n">
        <v>0</v>
      </c>
      <c r="C9" s="33">
        <f>IF(B9&lt;2,"⚠️ LOW","✅ OK")</f>
        <v/>
      </c>
      <c r="D9" s="34" t="inlineStr">
        <is>
          <t>Vintage count</t>
        </is>
      </c>
      <c r="E9" s="35" t="inlineStr">
        <is>
          <t>Minimum 2 separate vintage years</t>
        </is>
      </c>
    </row>
    <row r="10">
      <c r="A10" s="31" t="inlineStr">
        <is>
          <t>Liquidity Score</t>
        </is>
      </c>
      <c r="B10" s="32" t="n">
        <v>0</v>
      </c>
      <c r="C10" s="33">
        <f>IF(B10&lt;0.05,"⚠️ LOW","✅ OK")</f>
        <v/>
      </c>
      <c r="D10" s="34" t="inlineStr">
        <is>
          <t>Liquid reserves %</t>
        </is>
      </c>
      <c r="E10" s="35" t="inlineStr">
        <is>
          <t>Maintain min 5% in liquid instruments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2026-03-18T16:39:32Z</dcterms:created>
  <dcterms:modified xmlns:dcterms="http://purl.org/dc/terms/" xmlns:xsi="http://www.w3.org/2001/XMLSchema-instance" xsi:type="dcterms:W3CDTF">2026-03-18T16:39:32Z</dcterms:modified>
</cp:coreProperties>
</file>