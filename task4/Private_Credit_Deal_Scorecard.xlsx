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corecard" sheetId="1" state="visible" r:id="rId1"/>
    <sheet xmlns:r="http://schemas.openxmlformats.org/officeDocument/2006/relationships" name="Benchmark Comparison" sheetId="2" state="visible" r:id="rId2"/>
    <sheet xmlns:r="http://schemas.openxmlformats.org/officeDocument/2006/relationships" name="Return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ED6F1"/>
      <sz val="11"/>
    </font>
    <font>
      <name val="Calibri"/>
      <b val="1"/>
      <color rgb="000D1B2A"/>
      <sz val="12"/>
    </font>
    <font>
      <name val="Calibri"/>
      <b val="1"/>
      <color rgb="001B4F72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0D1B2A"/>
      <sz val="14"/>
    </font>
    <font>
      <name val="Calibri"/>
      <b val="1"/>
      <sz val="10"/>
    </font>
    <font>
      <name val="Calibri"/>
      <b val="1"/>
      <color rgb="000D1B2A"/>
      <sz val="10"/>
    </font>
    <font>
      <name val="Calibri"/>
      <b val="1"/>
      <color rgb="00FFFFFF"/>
      <sz val="10"/>
    </font>
    <font>
      <name val="Calibri"/>
      <i val="1"/>
      <color rgb="00808080"/>
      <sz val="9"/>
    </font>
    <font>
      <name val="Calibri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AED6F1"/>
      </patternFill>
    </fill>
    <fill>
      <patternFill patternType="solid">
        <fgColor rgb="00F2F3F4"/>
      </patternFill>
    </fill>
    <fill>
      <patternFill patternType="solid">
        <fgColor rgb="002E86C1"/>
      </patternFill>
    </fill>
    <fill>
      <patternFill patternType="solid">
        <fgColor rgb="00A9DFBF"/>
      </patternFill>
    </fill>
    <fill>
      <patternFill patternType="solid">
        <fgColor rgb="00FAD7A0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9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9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2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9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9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2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9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2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9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2" fontId="7" fillId="11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9" fontId="6" fillId="2" borderId="0" applyAlignment="1" pivotButton="0" quotePrefix="0" xfId="0">
      <alignment horizontal="center" vertical="center" wrapText="1"/>
    </xf>
    <xf numFmtId="2" fontId="9" fillId="2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3" fillId="3" borderId="0" pivotButton="0" quotePrefix="0" xfId="0"/>
    <xf numFmtId="0" fontId="0" fillId="12" borderId="1" pivotButton="0" quotePrefix="0" xfId="0"/>
    <xf numFmtId="0" fontId="14" fillId="0" borderId="0" pivotButton="0" quotePrefix="0" xfId="0"/>
    <xf numFmtId="0" fontId="15" fillId="12" borderId="0" pivotButton="0" quotePrefix="0" xfId="0"/>
    <xf numFmtId="10" fontId="0" fillId="5" borderId="1" pivotButton="0" quotePrefix="0" xfId="0"/>
    <xf numFmtId="1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12" customWidth="1" min="4" max="4"/>
    <col width="12" customWidth="1" min="5" max="5"/>
    <col width="12" customWidth="1" min="6" max="6"/>
    <col width="18" customWidth="1" min="7" max="7"/>
    <col width="30" customWidth="1" min="8" max="8"/>
  </cols>
  <sheetData>
    <row r="1" ht="35" customHeight="1">
      <c r="A1" s="1" t="inlineStr">
        <is>
          <t>PRIVATE CREDIT DEAL SCORECARD</t>
        </is>
      </c>
    </row>
    <row r="2">
      <c r="A2" s="2" t="inlineStr">
        <is>
          <t>Systematic Risk-Adjusted Evaluation Framework | v1.0</t>
        </is>
      </c>
    </row>
    <row r="4">
      <c r="A4" s="3" t="inlineStr">
        <is>
          <t>DEAL INFORMATION</t>
        </is>
      </c>
    </row>
    <row r="5">
      <c r="A5" s="4" t="inlineStr">
        <is>
          <t>Deal Name:</t>
        </is>
      </c>
      <c r="B5" s="5" t="n"/>
      <c r="D5" s="4" t="inlineStr">
        <is>
          <t>Total Facility Size ($M):</t>
        </is>
      </c>
      <c r="E5" s="5" t="n"/>
    </row>
    <row r="6">
      <c r="A6" s="4" t="inlineStr">
        <is>
          <t>Borrower:</t>
        </is>
      </c>
      <c r="B6" s="5" t="n"/>
      <c r="D6" s="4" t="inlineStr">
        <is>
          <t>Drawn Amount ($M):</t>
        </is>
      </c>
      <c r="E6" s="5" t="n"/>
    </row>
    <row r="7">
      <c r="A7" s="4" t="inlineStr">
        <is>
          <t>Sponsor:</t>
        </is>
      </c>
      <c r="B7" s="5" t="n"/>
      <c r="D7" s="4" t="inlineStr">
        <is>
          <t>Maturity (yrs):</t>
        </is>
      </c>
      <c r="E7" s="5" t="n"/>
    </row>
    <row r="8">
      <c r="A8" s="4" t="inlineStr">
        <is>
          <t>Deal Date:</t>
        </is>
      </c>
      <c r="B8" s="5" t="n"/>
      <c r="D8" s="4" t="inlineStr">
        <is>
          <t>Pricing (spread bps):</t>
        </is>
      </c>
      <c r="E8" s="5" t="n"/>
    </row>
    <row r="9">
      <c r="A9" s="4" t="inlineStr">
        <is>
          <t>Transaction Type:</t>
        </is>
      </c>
      <c r="B9" s="5" t="n"/>
      <c r="D9" s="4" t="inlineStr">
        <is>
          <t>PIK Component (%):</t>
        </is>
      </c>
      <c r="E9" s="5" t="n"/>
    </row>
    <row r="10">
      <c r="A10" s="4" t="inlineStr">
        <is>
          <t>Currency:</t>
        </is>
      </c>
      <c r="B10" s="5" t="n"/>
      <c r="D10" s="4" t="inlineStr">
        <is>
          <t>OID (%):</t>
        </is>
      </c>
      <c r="E10" s="5" t="n"/>
    </row>
    <row r="13" ht="22" customHeight="1">
      <c r="A13" s="6" t="inlineStr">
        <is>
          <t>SCORING CRITERIA (Score 1–10 per criterion; Weight × Score = Weighted Score)</t>
        </is>
      </c>
    </row>
    <row r="14" ht="20" customHeight="1">
      <c r="A14" s="7" t="inlineStr">
        <is>
          <t>Category</t>
        </is>
      </c>
      <c r="B14" s="7" t="inlineStr">
        <is>
          <t>Criterion</t>
        </is>
      </c>
      <c r="C14" s="7" t="inlineStr">
        <is>
          <t>Description / Guidance</t>
        </is>
      </c>
      <c r="D14" s="7" t="inlineStr">
        <is>
          <t>Weight (%)</t>
        </is>
      </c>
      <c r="E14" s="7" t="inlineStr">
        <is>
          <t>Score (1-10)</t>
        </is>
      </c>
      <c r="F14" s="7" t="inlineStr">
        <is>
          <t>Wtd Score</t>
        </is>
      </c>
      <c r="G14" s="7" t="inlineStr">
        <is>
          <t>Benchmark</t>
        </is>
      </c>
      <c r="H14" s="7" t="inlineStr">
        <is>
          <t>Notes</t>
        </is>
      </c>
    </row>
    <row r="15" ht="30" customHeight="1">
      <c r="A15" s="8" t="inlineStr">
        <is>
          <t>BORROWER QUALITY</t>
        </is>
      </c>
      <c r="B15" s="8" t="inlineStr">
        <is>
          <t>Revenue Quality</t>
        </is>
      </c>
      <c r="C15" s="8" t="inlineStr">
        <is>
          <t>Recurring vs. transactional revenue; customer concentration; contract length</t>
        </is>
      </c>
      <c r="D15" s="9" t="n">
        <v>0.04</v>
      </c>
      <c r="E15" s="10" t="n"/>
      <c r="F15" s="11">
        <f>D15*E15*100</f>
        <v/>
      </c>
      <c r="G15" s="8" t="inlineStr"/>
      <c r="H15" s="8" t="inlineStr"/>
    </row>
    <row r="16" ht="30" customHeight="1">
      <c r="A16" s="8" t="inlineStr">
        <is>
          <t>BORROWER QUALITY</t>
        </is>
      </c>
      <c r="B16" s="8" t="inlineStr">
        <is>
          <t>EBITDA Margin &amp; Stability</t>
        </is>
      </c>
      <c r="C16" s="8" t="inlineStr">
        <is>
          <t>LTM EBITDA margin vs. sector average; 3-yr volatility; quality of earnings adjustment</t>
        </is>
      </c>
      <c r="D16" s="9" t="n">
        <v>0.05</v>
      </c>
      <c r="E16" s="10" t="n"/>
      <c r="F16" s="11">
        <f>D16*E16*100</f>
        <v/>
      </c>
      <c r="G16" s="8" t="inlineStr"/>
      <c r="H16" s="8" t="inlineStr"/>
    </row>
    <row r="17" ht="30" customHeight="1">
      <c r="A17" s="8" t="inlineStr">
        <is>
          <t>BORROWER QUALITY</t>
        </is>
      </c>
      <c r="B17" s="8" t="inlineStr">
        <is>
          <t>Free Cash Flow Conversion</t>
        </is>
      </c>
      <c r="C17" s="8" t="inlineStr">
        <is>
          <t>FCF/EBITDA ratio; capex intensity; working capital dynamics</t>
        </is>
      </c>
      <c r="D17" s="9" t="n">
        <v>0.04</v>
      </c>
      <c r="E17" s="10" t="n"/>
      <c r="F17" s="11">
        <f>D17*E17*100</f>
        <v/>
      </c>
      <c r="G17" s="8" t="inlineStr"/>
      <c r="H17" s="8" t="inlineStr"/>
    </row>
    <row r="18" ht="30" customHeight="1">
      <c r="A18" s="8" t="inlineStr">
        <is>
          <t>BORROWER QUALITY</t>
        </is>
      </c>
      <c r="B18" s="8" t="inlineStr">
        <is>
          <t>Management Track Record</t>
        </is>
      </c>
      <c r="C18" s="8" t="inlineStr">
        <is>
          <t>Tenure, past credit incidents, alignment (equity ownership), turnaround history</t>
        </is>
      </c>
      <c r="D18" s="9" t="n">
        <v>0.04</v>
      </c>
      <c r="E18" s="10" t="n"/>
      <c r="F18" s="11">
        <f>D18*E18*100</f>
        <v/>
      </c>
      <c r="G18" s="8" t="inlineStr"/>
      <c r="H18" s="8" t="inlineStr"/>
    </row>
    <row r="19" ht="30" customHeight="1">
      <c r="A19" s="8" t="inlineStr">
        <is>
          <t>BORROWER QUALITY</t>
        </is>
      </c>
      <c r="B19" s="8" t="inlineStr">
        <is>
          <t>Competitive Position</t>
        </is>
      </c>
      <c r="C19" s="8" t="inlineStr">
        <is>
          <t>Market share, barriers to entry, pricing power, technology moat</t>
        </is>
      </c>
      <c r="D19" s="9" t="n">
        <v>0.03</v>
      </c>
      <c r="E19" s="10" t="n"/>
      <c r="F19" s="11">
        <f>D19*E19*100</f>
        <v/>
      </c>
      <c r="G19" s="8" t="inlineStr"/>
      <c r="H19" s="8" t="inlineStr"/>
    </row>
    <row r="20" ht="30" customHeight="1">
      <c r="A20" s="12" t="inlineStr">
        <is>
          <t>COLLATERAL</t>
        </is>
      </c>
      <c r="B20" s="12" t="inlineStr">
        <is>
          <t>Collateral Type &amp; Quality</t>
        </is>
      </c>
      <c r="C20" s="12" t="inlineStr">
        <is>
          <t>First lien, second lien, or unsecured; asset quality (real vs. intangible)</t>
        </is>
      </c>
      <c r="D20" s="13" t="n">
        <v>0.05</v>
      </c>
      <c r="E20" s="14" t="n"/>
      <c r="F20" s="15">
        <f>D20*E20*100</f>
        <v/>
      </c>
      <c r="G20" s="12" t="inlineStr"/>
      <c r="H20" s="12" t="inlineStr"/>
    </row>
    <row r="21" ht="30" customHeight="1">
      <c r="A21" s="12" t="inlineStr">
        <is>
          <t>COLLATERAL</t>
        </is>
      </c>
      <c r="B21" s="12" t="inlineStr">
        <is>
          <t>LTV / LLTV Ratio</t>
        </is>
      </c>
      <c r="C21" s="12" t="inlineStr">
        <is>
          <t>Current LTV vs. stressed LTV; collateral coverage ratio vs. peers</t>
        </is>
      </c>
      <c r="D21" s="13" t="n">
        <v>0.05</v>
      </c>
      <c r="E21" s="14" t="n"/>
      <c r="F21" s="15">
        <f>D21*E21*100</f>
        <v/>
      </c>
      <c r="G21" s="12" t="inlineStr"/>
      <c r="H21" s="12" t="inlineStr"/>
    </row>
    <row r="22" ht="30" customHeight="1">
      <c r="A22" s="12" t="inlineStr">
        <is>
          <t>COLLATERAL</t>
        </is>
      </c>
      <c r="B22" s="12" t="inlineStr">
        <is>
          <t>Collateral Liquidity</t>
        </is>
      </c>
      <c r="C22" s="12" t="inlineStr">
        <is>
          <t>Time to liquidate in a stress scenario; realized liquidation discount estimates</t>
        </is>
      </c>
      <c r="D22" s="13" t="n">
        <v>0.04</v>
      </c>
      <c r="E22" s="14" t="n"/>
      <c r="F22" s="15">
        <f>D22*E22*100</f>
        <v/>
      </c>
      <c r="G22" s="12" t="inlineStr"/>
      <c r="H22" s="12" t="inlineStr"/>
    </row>
    <row r="23" ht="30" customHeight="1">
      <c r="A23" s="12" t="inlineStr">
        <is>
          <t>COLLATERAL</t>
        </is>
      </c>
      <c r="B23" s="12" t="inlineStr">
        <is>
          <t>Security Package</t>
        </is>
      </c>
      <c r="C23" s="12" t="inlineStr">
        <is>
          <t>Blanket lien, pledged equity, guarantees, IP assignments</t>
        </is>
      </c>
      <c r="D23" s="13" t="n">
        <v>0.03</v>
      </c>
      <c r="E23" s="14" t="n"/>
      <c r="F23" s="15">
        <f>D23*E23*100</f>
        <v/>
      </c>
      <c r="G23" s="12" t="inlineStr"/>
      <c r="H23" s="12" t="inlineStr"/>
    </row>
    <row r="24" ht="30" customHeight="1">
      <c r="A24" s="16" t="inlineStr">
        <is>
          <t>COVENANT STRENGTH</t>
        </is>
      </c>
      <c r="B24" s="16" t="inlineStr">
        <is>
          <t>Financial Covenant Set</t>
        </is>
      </c>
      <c r="C24" s="16" t="inlineStr">
        <is>
          <t>Number of maintenance covenants; whether covenant-lite or covenant-heavy</t>
        </is>
      </c>
      <c r="D24" s="17" t="n">
        <v>0.05</v>
      </c>
      <c r="E24" s="18" t="n"/>
      <c r="F24" s="19">
        <f>D24*E24*100</f>
        <v/>
      </c>
      <c r="G24" s="16" t="inlineStr"/>
      <c r="H24" s="16" t="inlineStr"/>
    </row>
    <row r="25" ht="30" customHeight="1">
      <c r="A25" s="16" t="inlineStr">
        <is>
          <t>COVENANT STRENGTH</t>
        </is>
      </c>
      <c r="B25" s="16" t="inlineStr">
        <is>
          <t>Headroom to Covenants</t>
        </is>
      </c>
      <c r="C25" s="16" t="inlineStr">
        <is>
          <t>Current leverage vs. covenant test level; buffer at close</t>
        </is>
      </c>
      <c r="D25" s="17" t="n">
        <v>0.04</v>
      </c>
      <c r="E25" s="18" t="n"/>
      <c r="F25" s="19">
        <f>D25*E25*100</f>
        <v/>
      </c>
      <c r="G25" s="16" t="inlineStr"/>
      <c r="H25" s="16" t="inlineStr"/>
    </row>
    <row r="26" ht="30" customHeight="1">
      <c r="A26" s="16" t="inlineStr">
        <is>
          <t>COVENANT STRENGTH</t>
        </is>
      </c>
      <c r="B26" s="16" t="inlineStr">
        <is>
          <t>Structural Protections</t>
        </is>
      </c>
      <c r="C26" s="16" t="inlineStr">
        <is>
          <t>Restricted payments basket, dividend blocker, EBITDA add-back limitations</t>
        </is>
      </c>
      <c r="D26" s="17" t="n">
        <v>0.04</v>
      </c>
      <c r="E26" s="18" t="n"/>
      <c r="F26" s="19">
        <f>D26*E26*100</f>
        <v/>
      </c>
      <c r="G26" s="16" t="inlineStr"/>
      <c r="H26" s="16" t="inlineStr"/>
    </row>
    <row r="27" ht="30" customHeight="1">
      <c r="A27" s="16" t="inlineStr">
        <is>
          <t>COVENANT STRENGTH</t>
        </is>
      </c>
      <c r="B27" s="16" t="inlineStr">
        <is>
          <t>Cross-Default &amp; Acceleration</t>
        </is>
      </c>
      <c r="C27" s="16" t="inlineStr">
        <is>
          <t>Cross-default to material agreements; acceleration triggers</t>
        </is>
      </c>
      <c r="D27" s="17" t="n">
        <v>0.03</v>
      </c>
      <c r="E27" s="18" t="n"/>
      <c r="F27" s="19">
        <f>D27*E27*100</f>
        <v/>
      </c>
      <c r="G27" s="16" t="inlineStr"/>
      <c r="H27" s="16" t="inlineStr"/>
    </row>
    <row r="28" ht="30" customHeight="1">
      <c r="A28" s="20" t="inlineStr">
        <is>
          <t>MANAGER / SPONSOR</t>
        </is>
      </c>
      <c r="B28" s="20" t="inlineStr">
        <is>
          <t>Sponsor Quality (if PE-backed)</t>
        </is>
      </c>
      <c r="C28" s="20" t="inlineStr">
        <is>
          <t>Sponsor reputation, historical repayment rates, equity cushion willingness</t>
        </is>
      </c>
      <c r="D28" s="21" t="n">
        <v>0.04</v>
      </c>
      <c r="E28" s="22" t="n"/>
      <c r="F28" s="23">
        <f>D28*E28*100</f>
        <v/>
      </c>
      <c r="G28" s="20" t="inlineStr"/>
      <c r="H28" s="20" t="inlineStr"/>
    </row>
    <row r="29" ht="30" customHeight="1">
      <c r="A29" s="20" t="inlineStr">
        <is>
          <t>MANAGER / SPONSOR</t>
        </is>
      </c>
      <c r="B29" s="20" t="inlineStr">
        <is>
          <t>Manager Track Record (if credit fund)</t>
        </is>
      </c>
      <c r="C29" s="20" t="inlineStr">
        <is>
          <t>Vintage-level IRR, default rates, recovery rates, AUM stability</t>
        </is>
      </c>
      <c r="D29" s="21" t="n">
        <v>0.05</v>
      </c>
      <c r="E29" s="22" t="n"/>
      <c r="F29" s="23">
        <f>D29*E29*100</f>
        <v/>
      </c>
      <c r="G29" s="20" t="inlineStr"/>
      <c r="H29" s="20" t="inlineStr"/>
    </row>
    <row r="30" ht="30" customHeight="1">
      <c r="A30" s="20" t="inlineStr">
        <is>
          <t>MANAGER / SPONSOR</t>
        </is>
      </c>
      <c r="B30" s="20" t="inlineStr">
        <is>
          <t>Alignment of Interests</t>
        </is>
      </c>
      <c r="C30" s="20" t="inlineStr">
        <is>
          <t>Manager co-investment, carried interest structure, fee transparency</t>
        </is>
      </c>
      <c r="D30" s="21" t="n">
        <v>0.03</v>
      </c>
      <c r="E30" s="22" t="n"/>
      <c r="F30" s="23">
        <f>D30*E30*100</f>
        <v/>
      </c>
      <c r="G30" s="20" t="inlineStr"/>
      <c r="H30" s="20" t="inlineStr"/>
    </row>
    <row r="31" ht="30" customHeight="1">
      <c r="A31" s="24" t="inlineStr">
        <is>
          <t>DEAL TERMS</t>
        </is>
      </c>
      <c r="B31" s="24" t="inlineStr">
        <is>
          <t>All-In Yield</t>
        </is>
      </c>
      <c r="C31" s="24" t="inlineStr">
        <is>
          <t>Total yield (base + spread + PIK + fees) vs. risk-adjusted benchmark</t>
        </is>
      </c>
      <c r="D31" s="25" t="n">
        <v>0.05</v>
      </c>
      <c r="E31" s="26" t="n"/>
      <c r="F31" s="27">
        <f>D31*E31*100</f>
        <v/>
      </c>
      <c r="G31" s="24" t="inlineStr"/>
      <c r="H31" s="24" t="inlineStr"/>
    </row>
    <row r="32" ht="30" customHeight="1">
      <c r="A32" s="24" t="inlineStr">
        <is>
          <t>DEAL TERMS</t>
        </is>
      </c>
      <c r="B32" s="24" t="inlineStr">
        <is>
          <t>Leverage Multiple</t>
        </is>
      </c>
      <c r="C32" s="24" t="inlineStr">
        <is>
          <t>Total debt/EBITDA at close; senior debt/EBITDA; net leverage</t>
        </is>
      </c>
      <c r="D32" s="25" t="n">
        <v>0.05</v>
      </c>
      <c r="E32" s="26" t="n"/>
      <c r="F32" s="27">
        <f>D32*E32*100</f>
        <v/>
      </c>
      <c r="G32" s="24" t="inlineStr"/>
      <c r="H32" s="24" t="inlineStr"/>
    </row>
    <row r="33" ht="30" customHeight="1">
      <c r="A33" s="24" t="inlineStr">
        <is>
          <t>DEAL TERMS</t>
        </is>
      </c>
      <c r="B33" s="24" t="inlineStr">
        <is>
          <t>Amortization Profile</t>
        </is>
      </c>
      <c r="C33" s="24" t="inlineStr">
        <is>
          <t>Cash sweep provisions, bullet vs. amortizing, mandatory prepayment triggers</t>
        </is>
      </c>
      <c r="D33" s="25" t="n">
        <v>0.03</v>
      </c>
      <c r="E33" s="26" t="n"/>
      <c r="F33" s="27">
        <f>D33*E33*100</f>
        <v/>
      </c>
      <c r="G33" s="24" t="inlineStr"/>
      <c r="H33" s="24" t="inlineStr"/>
    </row>
    <row r="34" ht="30" customHeight="1">
      <c r="A34" s="24" t="inlineStr">
        <is>
          <t>DEAL TERMS</t>
        </is>
      </c>
      <c r="B34" s="24" t="inlineStr">
        <is>
          <t>Prepayment Protection</t>
        </is>
      </c>
      <c r="C34" s="24" t="inlineStr">
        <is>
          <t>Call premium schedule, make-whole provision, soft call period</t>
        </is>
      </c>
      <c r="D34" s="25" t="n">
        <v>0.02</v>
      </c>
      <c r="E34" s="26" t="n"/>
      <c r="F34" s="27">
        <f>D34*E34*100</f>
        <v/>
      </c>
      <c r="G34" s="24" t="inlineStr"/>
      <c r="H34" s="24" t="inlineStr"/>
    </row>
    <row r="35" ht="30" customHeight="1">
      <c r="A35" s="28" t="inlineStr">
        <is>
          <t>RISK FACTORS</t>
        </is>
      </c>
      <c r="B35" s="28" t="inlineStr">
        <is>
          <t>Industry Risk</t>
        </is>
      </c>
      <c r="C35" s="28" t="inlineStr">
        <is>
          <t>Cyclicality, secular headwinds, regulatory risk, ESG considerations</t>
        </is>
      </c>
      <c r="D35" s="29" t="n">
        <v>0.04</v>
      </c>
      <c r="E35" s="30" t="n"/>
      <c r="F35" s="31">
        <f>D35*E35*100</f>
        <v/>
      </c>
      <c r="G35" s="28" t="inlineStr"/>
      <c r="H35" s="28" t="inlineStr"/>
    </row>
    <row r="36" ht="30" customHeight="1">
      <c r="A36" s="28" t="inlineStr">
        <is>
          <t>RISK FACTORS</t>
        </is>
      </c>
      <c r="B36" s="28" t="inlineStr">
        <is>
          <t>Geographic Risk</t>
        </is>
      </c>
      <c r="C36" s="28" t="inlineStr">
        <is>
          <t>Jurisdiction risk, currency risk, political risk (if cross-border)</t>
        </is>
      </c>
      <c r="D36" s="29" t="n">
        <v>0.03</v>
      </c>
      <c r="E36" s="30" t="n"/>
      <c r="F36" s="31">
        <f>D36*E36*100</f>
        <v/>
      </c>
      <c r="G36" s="28" t="inlineStr"/>
      <c r="H36" s="28" t="inlineStr"/>
    </row>
    <row r="37" ht="30" customHeight="1">
      <c r="A37" s="28" t="inlineStr">
        <is>
          <t>RISK FACTORS</t>
        </is>
      </c>
      <c r="B37" s="28" t="inlineStr">
        <is>
          <t>Refinancing / Liquidity Risk</t>
        </is>
      </c>
      <c r="C37" s="28" t="inlineStr">
        <is>
          <t>Maturity wall analysis; access to capital markets; sponsor support likelihood</t>
        </is>
      </c>
      <c r="D37" s="29" t="n">
        <v>0.04</v>
      </c>
      <c r="E37" s="30" t="n"/>
      <c r="F37" s="31">
        <f>D37*E37*100</f>
        <v/>
      </c>
      <c r="G37" s="28" t="inlineStr"/>
      <c r="H37" s="28" t="inlineStr"/>
    </row>
    <row r="38" ht="30" customHeight="1">
      <c r="A38" s="28" t="inlineStr">
        <is>
          <t>RISK FACTORS</t>
        </is>
      </c>
      <c r="B38" s="28" t="inlineStr">
        <is>
          <t>ESG / Headline Risk</t>
        </is>
      </c>
      <c r="C38" s="28" t="inlineStr">
        <is>
          <t>Environmental liabilities, governance issues, social impact concerns</t>
        </is>
      </c>
      <c r="D38" s="29" t="n">
        <v>0.02</v>
      </c>
      <c r="E38" s="30" t="n"/>
      <c r="F38" s="31">
        <f>D38*E38*100</f>
        <v/>
      </c>
      <c r="G38" s="28" t="inlineStr"/>
      <c r="H38" s="28" t="inlineStr"/>
    </row>
    <row r="40">
      <c r="A40" s="32" t="inlineStr">
        <is>
          <t>TOTAL WEIGHTED SCORE</t>
        </is>
      </c>
      <c r="D40" s="33">
        <f>SUM(D15:D38)</f>
        <v/>
      </c>
      <c r="F40" s="34">
        <f>SUM(F15:F38)</f>
        <v/>
      </c>
    </row>
    <row r="42">
      <c r="A42" s="6" t="inlineStr">
        <is>
          <t>DEAL RATING</t>
        </is>
      </c>
      <c r="D42" s="35">
        <f>IF(F40&gt;=75,"🟢 GREEN — PROCEED",IF(F40&gt;=55,"🟡 YELLOW — CONDITIONAL","🔴 RED — DO NOT PROCEED"))</f>
        <v/>
      </c>
    </row>
    <row r="44">
      <c r="A44" s="36" t="inlineStr">
        <is>
          <t>RATING SCALE</t>
        </is>
      </c>
    </row>
    <row r="45">
      <c r="A45" s="37" t="inlineStr">
        <is>
          <t>80–100</t>
        </is>
      </c>
      <c r="B45" s="37" t="inlineStr">
        <is>
          <t>GREEN</t>
        </is>
      </c>
      <c r="C45" s="37" t="inlineStr">
        <is>
          <t>Strong deal — proceed at standard pricing</t>
        </is>
      </c>
    </row>
    <row r="46">
      <c r="A46" s="37" t="inlineStr">
        <is>
          <t>65–79</t>
        </is>
      </c>
      <c r="B46" s="37" t="inlineStr">
        <is>
          <t>GREEN</t>
        </is>
      </c>
      <c r="C46" s="37" t="inlineStr">
        <is>
          <t>Solid deal — proceed with standard diligence</t>
        </is>
      </c>
    </row>
    <row r="47">
      <c r="A47" s="18" t="inlineStr">
        <is>
          <t>55–64</t>
        </is>
      </c>
      <c r="B47" s="18" t="inlineStr">
        <is>
          <t>YELLOW</t>
        </is>
      </c>
      <c r="C47" s="18" t="inlineStr">
        <is>
          <t>Conditional — requires negotiated protection or pricing adjustment</t>
        </is>
      </c>
    </row>
    <row r="48">
      <c r="A48" s="18" t="inlineStr">
        <is>
          <t>45–54</t>
        </is>
      </c>
      <c r="B48" s="18" t="inlineStr">
        <is>
          <t>YELLOW</t>
        </is>
      </c>
      <c r="C48" s="18" t="inlineStr">
        <is>
          <t>Marginal — significant concerns; seek structural mitigants</t>
        </is>
      </c>
    </row>
    <row r="49">
      <c r="A49" s="38" t="inlineStr">
        <is>
          <t>&lt; 45</t>
        </is>
      </c>
      <c r="B49" s="38" t="inlineStr">
        <is>
          <t>RED</t>
        </is>
      </c>
      <c r="C49" s="38" t="inlineStr">
        <is>
          <t>Do not proceed — risk/return unattractive</t>
        </is>
      </c>
    </row>
  </sheetData>
  <mergeCells count="13">
    <mergeCell ref="A44:J44"/>
    <mergeCell ref="A42:C42"/>
    <mergeCell ref="A1:J1"/>
    <mergeCell ref="C48:J48"/>
    <mergeCell ref="A4:D4"/>
    <mergeCell ref="C46:J46"/>
    <mergeCell ref="C47:J47"/>
    <mergeCell ref="A40:C40"/>
    <mergeCell ref="A2:J2"/>
    <mergeCell ref="D42:G42"/>
    <mergeCell ref="C45:J45"/>
    <mergeCell ref="A13:J13"/>
    <mergeCell ref="C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5" customWidth="1" min="5" max="5"/>
    <col width="18" customWidth="1" min="6" max="6"/>
    <col width="30" customWidth="1" min="7" max="7"/>
  </cols>
  <sheetData>
    <row r="1" ht="30" customHeight="1">
      <c r="A1" s="39" t="inlineStr">
        <is>
          <t>PRIVATE CREDIT BENCHMARK COMPARISON</t>
        </is>
      </c>
    </row>
    <row r="3">
      <c r="A3" s="7" t="inlineStr">
        <is>
          <t>Metric</t>
        </is>
      </c>
      <c r="B3" s="7" t="inlineStr">
        <is>
          <t>This Deal</t>
        </is>
      </c>
      <c r="C3" s="7" t="inlineStr">
        <is>
          <t>Direct Lending Avg</t>
        </is>
      </c>
      <c r="D3" s="7" t="inlineStr">
        <is>
          <t>Mezz Avg</t>
        </is>
      </c>
      <c r="E3" s="7" t="inlineStr">
        <is>
          <t>BDC Avg</t>
        </is>
      </c>
      <c r="F3" s="7" t="inlineStr">
        <is>
          <t>Distressed Avg</t>
        </is>
      </c>
      <c r="G3" s="7" t="inlineStr">
        <is>
          <t>Your Assessment</t>
        </is>
      </c>
    </row>
    <row r="4">
      <c r="A4" s="40" t="inlineStr">
        <is>
          <t>Total Leverage (Debt/EBITDA)</t>
        </is>
      </c>
      <c r="B4" s="41" t="inlineStr"/>
      <c r="C4" s="40" t="inlineStr">
        <is>
          <t>5.5x–6.5x</t>
        </is>
      </c>
      <c r="D4" s="40" t="inlineStr">
        <is>
          <t>6.0x–8.0x</t>
        </is>
      </c>
      <c r="E4" s="40" t="inlineStr">
        <is>
          <t>4.5x–6.0x</t>
        </is>
      </c>
      <c r="F4" s="40" t="inlineStr">
        <is>
          <t>3.0x–5.0x</t>
        </is>
      </c>
    </row>
    <row r="5">
      <c r="A5" s="42" t="inlineStr">
        <is>
          <t>Senior Leverage</t>
        </is>
      </c>
      <c r="B5" s="41" t="inlineStr"/>
      <c r="C5" s="42" t="inlineStr">
        <is>
          <t>4.0x–5.0x</t>
        </is>
      </c>
      <c r="D5" s="42" t="inlineStr">
        <is>
          <t>3.0x–4.0x</t>
        </is>
      </c>
      <c r="E5" s="42" t="inlineStr">
        <is>
          <t>3.5x–4.5x</t>
        </is>
      </c>
      <c r="F5" s="42" t="inlineStr">
        <is>
          <t>2.5x–4.0x</t>
        </is>
      </c>
    </row>
    <row r="6">
      <c r="A6" s="40" t="inlineStr">
        <is>
          <t>Interest Coverage (EBITDA/Interest)</t>
        </is>
      </c>
      <c r="B6" s="41" t="inlineStr"/>
      <c r="C6" s="40" t="inlineStr">
        <is>
          <t>1.5x–2.5x</t>
        </is>
      </c>
      <c r="D6" s="40" t="inlineStr">
        <is>
          <t>1.2x–2.0x</t>
        </is>
      </c>
      <c r="E6" s="40" t="inlineStr">
        <is>
          <t>1.5x–2.5x</t>
        </is>
      </c>
      <c r="F6" s="40" t="inlineStr">
        <is>
          <t>1.8x–3.0x</t>
        </is>
      </c>
    </row>
    <row r="7">
      <c r="A7" s="42" t="inlineStr">
        <is>
          <t>All-in Yield (%)</t>
        </is>
      </c>
      <c r="B7" s="41" t="inlineStr"/>
      <c r="C7" s="42" t="inlineStr">
        <is>
          <t>10–13%</t>
        </is>
      </c>
      <c r="D7" s="42" t="inlineStr">
        <is>
          <t>13–18%</t>
        </is>
      </c>
      <c r="E7" s="42" t="inlineStr">
        <is>
          <t>9–12%</t>
        </is>
      </c>
      <c r="F7" s="42" t="inlineStr">
        <is>
          <t>14–20%</t>
        </is>
      </c>
    </row>
    <row r="8">
      <c r="A8" s="40" t="inlineStr">
        <is>
          <t>Spread over SOFR (bps)</t>
        </is>
      </c>
      <c r="B8" s="41" t="inlineStr"/>
      <c r="C8" s="40" t="inlineStr">
        <is>
          <t>550–750</t>
        </is>
      </c>
      <c r="D8" s="40" t="inlineStr">
        <is>
          <t>800–1200</t>
        </is>
      </c>
      <c r="E8" s="40" t="inlineStr">
        <is>
          <t>450–650</t>
        </is>
      </c>
      <c r="F8" s="40" t="inlineStr">
        <is>
          <t>900–1400</t>
        </is>
      </c>
    </row>
    <row r="9">
      <c r="A9" s="42" t="inlineStr">
        <is>
          <t>OID (%)</t>
        </is>
      </c>
      <c r="B9" s="41" t="inlineStr"/>
      <c r="C9" s="42" t="inlineStr">
        <is>
          <t>1–3%</t>
        </is>
      </c>
      <c r="D9" s="42" t="inlineStr">
        <is>
          <t>2–5%</t>
        </is>
      </c>
      <c r="E9" s="42" t="inlineStr">
        <is>
          <t>0.5–2%</t>
        </is>
      </c>
      <c r="F9" s="42" t="inlineStr">
        <is>
          <t>3–6%</t>
        </is>
      </c>
    </row>
    <row r="10">
      <c r="A10" s="40" t="inlineStr">
        <is>
          <t>PIK Component (%)</t>
        </is>
      </c>
      <c r="B10" s="41" t="inlineStr"/>
      <c r="C10" s="40" t="inlineStr">
        <is>
          <t>0–3%</t>
        </is>
      </c>
      <c r="D10" s="40" t="inlineStr">
        <is>
          <t>3–8%</t>
        </is>
      </c>
      <c r="E10" s="40" t="inlineStr">
        <is>
          <t>0–2%</t>
        </is>
      </c>
      <c r="F10" s="40" t="inlineStr">
        <is>
          <t>5–15%</t>
        </is>
      </c>
    </row>
    <row r="11">
      <c r="A11" s="42" t="inlineStr">
        <is>
          <t>Amortization</t>
        </is>
      </c>
      <c r="B11" s="41" t="inlineStr"/>
      <c r="C11" s="42" t="inlineStr">
        <is>
          <t>1–5% p.a.</t>
        </is>
      </c>
      <c r="D11" s="42" t="inlineStr">
        <is>
          <t>Bullet</t>
        </is>
      </c>
      <c r="E11" s="42" t="inlineStr">
        <is>
          <t>1–5%</t>
        </is>
      </c>
      <c r="F11" s="42" t="inlineStr">
        <is>
          <t>PIK/Bullet</t>
        </is>
      </c>
    </row>
    <row r="12">
      <c r="A12" s="40" t="inlineStr">
        <is>
          <t>Typical Maturity</t>
        </is>
      </c>
      <c r="B12" s="41" t="inlineStr"/>
      <c r="C12" s="40" t="inlineStr">
        <is>
          <t>4–6 years</t>
        </is>
      </c>
      <c r="D12" s="40" t="inlineStr">
        <is>
          <t>3–5 years</t>
        </is>
      </c>
      <c r="E12" s="40" t="inlineStr">
        <is>
          <t>3–5 years</t>
        </is>
      </c>
      <c r="F12" s="40" t="inlineStr">
        <is>
          <t>1–3 years</t>
        </is>
      </c>
    </row>
    <row r="13">
      <c r="A13" s="42" t="inlineStr">
        <is>
          <t>Covenant Type</t>
        </is>
      </c>
      <c r="B13" s="41" t="inlineStr"/>
      <c r="C13" s="42" t="inlineStr">
        <is>
          <t>Maintenance</t>
        </is>
      </c>
      <c r="D13" s="42" t="inlineStr">
        <is>
          <t>Incurrence</t>
        </is>
      </c>
      <c r="E13" s="42" t="inlineStr">
        <is>
          <t>Maintenance</t>
        </is>
      </c>
      <c r="F13" s="42" t="inlineStr">
        <is>
          <t>Loose</t>
        </is>
      </c>
    </row>
    <row r="14">
      <c r="A14" s="40" t="inlineStr">
        <is>
          <t>Historical Default Rate</t>
        </is>
      </c>
      <c r="B14" s="41" t="inlineStr"/>
      <c r="C14" s="40" t="inlineStr">
        <is>
          <t>1.5–3%</t>
        </is>
      </c>
      <c r="D14" s="40" t="inlineStr">
        <is>
          <t>4–8%</t>
        </is>
      </c>
      <c r="E14" s="40" t="inlineStr">
        <is>
          <t>3–6%</t>
        </is>
      </c>
      <c r="F14" s="40" t="inlineStr">
        <is>
          <t>N/A</t>
        </is>
      </c>
    </row>
    <row r="15">
      <c r="A15" s="42" t="inlineStr">
        <is>
          <t>Historical Recovery Rate</t>
        </is>
      </c>
      <c r="B15" s="41" t="inlineStr"/>
      <c r="C15" s="42" t="inlineStr">
        <is>
          <t>65–80%</t>
        </is>
      </c>
      <c r="D15" s="42" t="inlineStr">
        <is>
          <t>30–55%</t>
        </is>
      </c>
      <c r="E15" s="42" t="inlineStr">
        <is>
          <t>55–70%</t>
        </is>
      </c>
      <c r="F15" s="42" t="inlineStr">
        <is>
          <t>20–45%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 ht="30" customHeight="1">
      <c r="A1" s="32" t="inlineStr">
        <is>
          <t>RISK-ADJUSTED EXPECTED RETURN CALCULATOR</t>
        </is>
      </c>
    </row>
    <row r="3">
      <c r="A3" s="43" t="inlineStr">
        <is>
          <t>BASE CASE RETURN</t>
        </is>
      </c>
      <c r="B3" s="44" t="n"/>
      <c r="C3" s="45" t="n"/>
    </row>
    <row r="4">
      <c r="A4" s="46" t="inlineStr">
        <is>
          <t>Cash Interest Yield (%)</t>
        </is>
      </c>
      <c r="B4" s="47" t="n">
        <v>0.11</v>
      </c>
      <c r="C4" s="45" t="inlineStr">
        <is>
          <t>Annual cash interest / invested capital</t>
        </is>
      </c>
    </row>
    <row r="5">
      <c r="A5" s="46" t="inlineStr">
        <is>
          <t>PIK Yield (%)</t>
        </is>
      </c>
      <c r="B5" s="47" t="n">
        <v>0.02</v>
      </c>
      <c r="C5" s="45" t="inlineStr">
        <is>
          <t>PIK component; add to cash yield</t>
        </is>
      </c>
    </row>
    <row r="6">
      <c r="A6" s="46" t="inlineStr">
        <is>
          <t>Fee Income (annualized %)</t>
        </is>
      </c>
      <c r="B6" s="47" t="n">
        <v>0.005</v>
      </c>
      <c r="C6" s="45" t="inlineStr">
        <is>
          <t>OID/upfront fees amortized over life</t>
        </is>
      </c>
    </row>
    <row r="7">
      <c r="A7" s="46" t="inlineStr">
        <is>
          <t>Gross Cash Yield</t>
        </is>
      </c>
      <c r="B7" s="48">
        <f>B3+B4+B5</f>
        <v/>
      </c>
      <c r="C7" s="45" t="inlineStr">
        <is>
          <t>Auto-calculated</t>
        </is>
      </c>
    </row>
    <row r="8">
      <c r="A8" s="46" t="inlineStr"/>
      <c r="B8" s="44" t="n"/>
      <c r="C8" s="45" t="n"/>
    </row>
    <row r="9">
      <c r="A9" s="43" t="inlineStr">
        <is>
          <t>LOSS ADJUSTMENT</t>
        </is>
      </c>
      <c r="B9" s="44" t="n"/>
      <c r="C9" s="45" t="n"/>
    </row>
    <row r="10">
      <c r="A10" s="46" t="inlineStr">
        <is>
          <t>Probability of Default (%)</t>
        </is>
      </c>
      <c r="B10" s="47" t="n">
        <v>0.02</v>
      </c>
      <c r="C10" s="45" t="inlineStr">
        <is>
          <t>Estimated PD over full life</t>
        </is>
      </c>
    </row>
    <row r="11">
      <c r="A11" s="46" t="inlineStr">
        <is>
          <t>Expected Recovery Rate (%)</t>
        </is>
      </c>
      <c r="B11" s="47" t="n">
        <v>0.7</v>
      </c>
      <c r="C11" s="45" t="inlineStr">
        <is>
          <t>Recovery in default scenario</t>
        </is>
      </c>
    </row>
    <row r="12">
      <c r="A12" s="46" t="inlineStr">
        <is>
          <t>Expected Loss (%)</t>
        </is>
      </c>
      <c r="B12" s="48">
        <f>B9*(1-B10)</f>
        <v/>
      </c>
      <c r="C12" s="45" t="inlineStr">
        <is>
          <t>Auto-calculated EL</t>
        </is>
      </c>
    </row>
    <row r="13">
      <c r="A13" s="46" t="inlineStr"/>
      <c r="B13" s="44" t="n"/>
      <c r="C13" s="45" t="n"/>
    </row>
    <row r="14">
      <c r="A14" s="43" t="inlineStr">
        <is>
          <t>RISK-ADJUSTED RETURN</t>
        </is>
      </c>
      <c r="B14" s="44" t="n"/>
      <c r="C14" s="45" t="n"/>
    </row>
    <row r="15">
      <c r="A15" s="46" t="inlineStr">
        <is>
          <t>Risk-Adjusted Yield</t>
        </is>
      </c>
      <c r="B15" s="48">
        <f>B6-B11</f>
        <v/>
      </c>
      <c r="C15" s="45" t="inlineStr">
        <is>
          <t>Gross yield minus expected loss</t>
        </is>
      </c>
    </row>
    <row r="16">
      <c r="A16" s="46" t="inlineStr">
        <is>
          <t>Hurdle Rate</t>
        </is>
      </c>
      <c r="B16" s="48">
        <f>0.0800</f>
        <v/>
      </c>
      <c r="C16" s="45" t="inlineStr">
        <is>
          <t>Minimum acceptable return</t>
        </is>
      </c>
    </row>
    <row r="17">
      <c r="A17" s="46" t="inlineStr">
        <is>
          <t>Excess Return (Spread-to-Hurdle)</t>
        </is>
      </c>
      <c r="B17" s="48">
        <f>B13-B14</f>
        <v/>
      </c>
      <c r="C17" s="45" t="inlineStr">
        <is>
          <t>Positive = deal clears hurdle</t>
        </is>
      </c>
    </row>
    <row r="18">
      <c r="A18" s="46" t="inlineStr"/>
      <c r="B18" s="44" t="n"/>
      <c r="C18" s="45" t="n"/>
    </row>
    <row r="19">
      <c r="A19" s="43" t="inlineStr">
        <is>
          <t>SCENARIO ANALYSIS</t>
        </is>
      </c>
      <c r="B19" s="44" t="n"/>
      <c r="C19" s="45" t="n"/>
    </row>
    <row r="20">
      <c r="A20" s="46" t="inlineStr">
        <is>
          <t>Base Case IRR (%)</t>
        </is>
      </c>
      <c r="B20" s="48">
        <f>B13</f>
        <v/>
      </c>
      <c r="C20" s="45" t="inlineStr">
        <is>
          <t>Use risk-adj yield as proxy</t>
        </is>
      </c>
    </row>
    <row r="21">
      <c r="A21" s="46" t="inlineStr">
        <is>
          <t>Downside Case (-2pt spread)</t>
        </is>
      </c>
      <c r="B21" s="48">
        <f>B13-0.02</f>
        <v/>
      </c>
      <c r="C21" s="45" t="inlineStr">
        <is>
          <t>Compressed spread scenario</t>
        </is>
      </c>
    </row>
    <row r="22">
      <c r="A22" s="46" t="inlineStr">
        <is>
          <t>Stress Case (default at 18mo)</t>
        </is>
      </c>
      <c r="B22" s="48">
        <f>B6*1.5-0.3</f>
        <v/>
      </c>
      <c r="C22" s="45" t="inlineStr">
        <is>
          <t>Stress recovery scenario</t>
        </is>
      </c>
    </row>
    <row r="23">
      <c r="A23" s="46" t="inlineStr"/>
      <c r="B23" s="44" t="n"/>
      <c r="C23" s="45" t="n"/>
    </row>
    <row r="24">
      <c r="A24" s="43" t="inlineStr">
        <is>
          <t>VERDICT</t>
        </is>
      </c>
      <c r="B24" s="44" t="n"/>
      <c r="C24" s="45" t="n"/>
    </row>
    <row r="25">
      <c r="A25" s="46" t="inlineStr">
        <is>
          <t>Clears Hurdle?</t>
        </is>
      </c>
      <c r="B25" s="48">
        <f>IF(B15&gt;0,"YES ✓","NO ✗")</f>
        <v/>
      </c>
      <c r="C25" s="45" t="inlineStr">
        <is>
          <t>Green if positive spread-to-hurdle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2026-03-18T16:39:31Z</dcterms:created>
  <dcterms:modified xmlns:dcterms="http://purl.org/dc/terms/" xmlns:xsi="http://www.w3.org/2001/XMLSchema-instance" xsi:type="dcterms:W3CDTF">2026-03-18T16:39:31Z</dcterms:modified>
</cp:coreProperties>
</file>